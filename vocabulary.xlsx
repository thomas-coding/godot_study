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code\godot_study\"/>
    </mc:Choice>
  </mc:AlternateContent>
  <xr:revisionPtr revIDLastSave="0" documentId="13_ncr:1_{F48261D7-E185-4FBB-AFF3-A73E6335355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20260206" sheetId="80" r:id="rId1"/>
    <sheet name="20260218" sheetId="81" r:id="rId2"/>
    <sheet name="20260219" sheetId="82" r:id="rId3"/>
    <sheet name="固定用法" sheetId="12" r:id="rId4"/>
    <sheet name="temp" sheetId="7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82" l="1"/>
  <c r="F8" i="82"/>
  <c r="G7" i="82"/>
  <c r="F7" i="82"/>
  <c r="G6" i="82"/>
  <c r="F6" i="82"/>
  <c r="G5" i="82"/>
  <c r="F5" i="82"/>
  <c r="G4" i="82"/>
  <c r="F4" i="82"/>
  <c r="G3" i="82"/>
  <c r="F3" i="82"/>
  <c r="G2" i="82"/>
  <c r="F2" i="82"/>
  <c r="G8" i="81"/>
  <c r="F8" i="81"/>
  <c r="G7" i="81"/>
  <c r="F7" i="81"/>
  <c r="G6" i="81"/>
  <c r="F6" i="81"/>
  <c r="G5" i="81"/>
  <c r="F5" i="81"/>
  <c r="G4" i="81"/>
  <c r="F4" i="81"/>
  <c r="G3" i="81"/>
  <c r="F3" i="81"/>
  <c r="G2" i="81"/>
  <c r="F2" i="81"/>
  <c r="F11" i="80"/>
  <c r="G11" i="80"/>
  <c r="F10" i="80"/>
  <c r="G10" i="80"/>
  <c r="F9" i="80"/>
  <c r="G9" i="80"/>
  <c r="G8" i="80"/>
  <c r="F8" i="80"/>
  <c r="G7" i="80"/>
  <c r="F7" i="80"/>
  <c r="G6" i="80"/>
  <c r="F6" i="80"/>
  <c r="G5" i="80"/>
  <c r="F5" i="80"/>
  <c r="G4" i="80"/>
  <c r="F4" i="80"/>
  <c r="G3" i="80"/>
  <c r="F3" i="80"/>
  <c r="G2" i="80"/>
  <c r="F2" i="80"/>
  <c r="F2" i="75"/>
  <c r="G2" i="75"/>
  <c r="F3" i="75"/>
  <c r="G3" i="75"/>
  <c r="F4" i="75"/>
  <c r="G4" i="75"/>
  <c r="F5" i="75"/>
  <c r="G5" i="75"/>
  <c r="F6" i="75"/>
  <c r="G6" i="75"/>
  <c r="G8" i="75"/>
  <c r="F8" i="75"/>
  <c r="G7" i="75"/>
  <c r="F7" i="75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G2" i="12"/>
  <c r="F2" i="12"/>
</calcChain>
</file>

<file path=xl/sharedStrings.xml><?xml version="1.0" encoding="utf-8"?>
<sst xmlns="http://schemas.openxmlformats.org/spreadsheetml/2006/main" count="104" uniqueCount="70">
  <si>
    <t>序号</t>
    <phoneticPr fontId="1" type="noConversion"/>
  </si>
  <si>
    <t>单词</t>
    <phoneticPr fontId="1" type="noConversion"/>
  </si>
  <si>
    <t>音标</t>
    <phoneticPr fontId="1" type="noConversion"/>
  </si>
  <si>
    <t>翻译</t>
    <phoneticPr fontId="1" type="noConversion"/>
  </si>
  <si>
    <t>结果</t>
    <phoneticPr fontId="1" type="noConversion"/>
  </si>
  <si>
    <t>随机数</t>
    <phoneticPr fontId="1" type="noConversion"/>
  </si>
  <si>
    <t>默写</t>
    <phoneticPr fontId="1" type="noConversion"/>
  </si>
  <si>
    <t>错误次数</t>
    <phoneticPr fontId="1" type="noConversion"/>
  </si>
  <si>
    <t>temp</t>
    <phoneticPr fontId="1" type="noConversion"/>
  </si>
  <si>
    <t>日期</t>
    <phoneticPr fontId="1" type="noConversion"/>
  </si>
  <si>
    <t>错误数</t>
    <phoneticPr fontId="1" type="noConversion"/>
  </si>
  <si>
    <t>词组</t>
    <phoneticPr fontId="1" type="noConversion"/>
  </si>
  <si>
    <t>出处</t>
    <phoneticPr fontId="1" type="noConversion"/>
  </si>
  <si>
    <t>单词数：</t>
    <phoneticPr fontId="1" type="noConversion"/>
  </si>
  <si>
    <t>indentation</t>
    <phoneticPr fontId="1" type="noConversion"/>
  </si>
  <si>
    <r>
      <t>/</t>
    </r>
    <r>
      <rPr>
        <sz val="20"/>
        <color theme="1"/>
        <rFont val="Segoe UI"/>
        <family val="3"/>
        <charset val="1"/>
      </rPr>
      <t>ˌɪ</t>
    </r>
    <r>
      <rPr>
        <sz val="20"/>
        <color theme="1"/>
        <rFont val="等线"/>
        <family val="3"/>
        <charset val="134"/>
        <scheme val="minor"/>
      </rPr>
      <t>nden</t>
    </r>
    <r>
      <rPr>
        <sz val="20"/>
        <color theme="1"/>
        <rFont val="Segoe UI"/>
        <family val="3"/>
        <charset val="1"/>
      </rPr>
      <t>ˈ</t>
    </r>
    <r>
      <rPr>
        <sz val="20"/>
        <color theme="1"/>
        <rFont val="等线"/>
        <family val="3"/>
        <charset val="134"/>
        <scheme val="minor"/>
      </rPr>
      <t>te</t>
    </r>
    <r>
      <rPr>
        <sz val="20"/>
        <color theme="1"/>
        <rFont val="Segoe UI"/>
        <family val="3"/>
        <charset val="1"/>
      </rPr>
      <t>ɪʃ</t>
    </r>
    <r>
      <rPr>
        <sz val="20"/>
        <color theme="1"/>
        <rFont val="等线"/>
        <family val="3"/>
        <charset val="134"/>
        <scheme val="minor"/>
      </rPr>
      <t>n/</t>
    </r>
    <phoneticPr fontId="1" type="noConversion"/>
  </si>
  <si>
    <t>prefab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</si>
  <si>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pri</t>
    </r>
    <r>
      <rPr>
        <sz val="20"/>
        <color theme="1"/>
        <rFont val="Segoe UI"/>
        <family val="2"/>
        <charset val="1"/>
      </rPr>
      <t>ː</t>
    </r>
    <r>
      <rPr>
        <sz val="20"/>
        <color theme="1"/>
        <rFont val="等线"/>
        <family val="2"/>
        <scheme val="minor"/>
      </rPr>
      <t>fæb/</t>
    </r>
    <phoneticPr fontId="1" type="noConversion"/>
  </si>
  <si>
    <t>预制</t>
    <phoneticPr fontId="1" type="noConversion"/>
  </si>
  <si>
    <t>dock</t>
    <phoneticPr fontId="1" type="noConversion"/>
  </si>
  <si>
    <r>
      <t>/d</t>
    </r>
    <r>
      <rPr>
        <sz val="20"/>
        <color theme="1"/>
        <rFont val="Segoe UI"/>
        <family val="2"/>
        <charset val="1"/>
      </rPr>
      <t>ɒ</t>
    </r>
    <r>
      <rPr>
        <sz val="20"/>
        <color theme="1"/>
        <rFont val="等线"/>
        <family val="2"/>
        <scheme val="minor"/>
      </rPr>
      <t>k/</t>
    </r>
    <phoneticPr fontId="1" type="noConversion"/>
  </si>
  <si>
    <t xml:space="preserve">
码头</t>
    <phoneticPr fontId="1" type="noConversion"/>
  </si>
  <si>
    <t>preset</t>
    <phoneticPr fontId="1" type="noConversion"/>
  </si>
  <si>
    <r>
      <t>/</t>
    </r>
    <r>
      <rPr>
        <sz val="20"/>
        <color theme="1"/>
        <rFont val="Segoe UI"/>
        <family val="2"/>
        <charset val="1"/>
      </rPr>
      <t>ˌ</t>
    </r>
    <r>
      <rPr>
        <sz val="20"/>
        <color theme="1"/>
        <rFont val="等线"/>
        <family val="2"/>
        <scheme val="minor"/>
      </rPr>
      <t>pri</t>
    </r>
    <r>
      <rPr>
        <sz val="20"/>
        <color theme="1"/>
        <rFont val="Segoe UI"/>
        <family val="2"/>
        <charset val="1"/>
      </rPr>
      <t>ːˈ</t>
    </r>
    <r>
      <rPr>
        <sz val="20"/>
        <color theme="1"/>
        <rFont val="等线"/>
        <family val="2"/>
        <scheme val="minor"/>
      </rPr>
      <t>set/</t>
    </r>
    <phoneticPr fontId="1" type="noConversion"/>
  </si>
  <si>
    <t>预设</t>
    <phoneticPr fontId="1" type="noConversion"/>
  </si>
  <si>
    <t>delimit</t>
    <phoneticPr fontId="1" type="noConversion"/>
  </si>
  <si>
    <r>
      <t>/di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l</t>
    </r>
    <r>
      <rPr>
        <sz val="20"/>
        <color theme="1"/>
        <rFont val="Segoe UI"/>
        <family val="2"/>
        <charset val="1"/>
      </rPr>
      <t>ɪ</t>
    </r>
    <r>
      <rPr>
        <sz val="20"/>
        <color theme="1"/>
        <rFont val="等线"/>
        <family val="2"/>
        <scheme val="minor"/>
      </rPr>
      <t>m</t>
    </r>
    <r>
      <rPr>
        <sz val="20"/>
        <color theme="1"/>
        <rFont val="Segoe UI"/>
        <family val="2"/>
        <charset val="1"/>
      </rPr>
      <t>ɪ</t>
    </r>
    <r>
      <rPr>
        <sz val="20"/>
        <color theme="1"/>
        <rFont val="等线"/>
        <family val="2"/>
        <scheme val="minor"/>
      </rPr>
      <t>t/</t>
    </r>
    <phoneticPr fontId="1" type="noConversion"/>
  </si>
  <si>
    <t>定…的界限</t>
    <phoneticPr fontId="1" type="noConversion"/>
  </si>
  <si>
    <t>syntax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</si>
  <si>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s</t>
    </r>
    <r>
      <rPr>
        <sz val="20"/>
        <color theme="1"/>
        <rFont val="Segoe UI"/>
        <family val="2"/>
        <charset val="1"/>
      </rPr>
      <t>ɪ</t>
    </r>
    <r>
      <rPr>
        <sz val="20"/>
        <color theme="1"/>
        <rFont val="等线"/>
        <family val="2"/>
        <scheme val="minor"/>
      </rPr>
      <t>ntæks/</t>
    </r>
    <phoneticPr fontId="1" type="noConversion"/>
  </si>
  <si>
    <t>语法</t>
    <phoneticPr fontId="1" type="noConversion"/>
  </si>
  <si>
    <t>compilation</t>
    <phoneticPr fontId="1" type="noConversion"/>
  </si>
  <si>
    <r>
      <t>/</t>
    </r>
    <r>
      <rPr>
        <sz val="20"/>
        <color theme="1"/>
        <rFont val="Segoe UI"/>
        <family val="2"/>
        <charset val="1"/>
      </rPr>
      <t>ˌ</t>
    </r>
    <r>
      <rPr>
        <sz val="20"/>
        <color theme="1"/>
        <rFont val="等线"/>
        <family val="2"/>
        <scheme val="minor"/>
      </rPr>
      <t>k</t>
    </r>
    <r>
      <rPr>
        <sz val="20"/>
        <color theme="1"/>
        <rFont val="Segoe UI"/>
        <family val="2"/>
        <charset val="1"/>
      </rPr>
      <t>ɒ</t>
    </r>
    <r>
      <rPr>
        <sz val="20"/>
        <color theme="1"/>
        <rFont val="等线"/>
        <family val="2"/>
        <scheme val="minor"/>
      </rPr>
      <t>mp</t>
    </r>
    <r>
      <rPr>
        <sz val="20"/>
        <color theme="1"/>
        <rFont val="Segoe UI"/>
        <family val="2"/>
        <charset val="1"/>
      </rPr>
      <t>ɪˈ</t>
    </r>
    <r>
      <rPr>
        <sz val="20"/>
        <color theme="1"/>
        <rFont val="等线"/>
        <family val="2"/>
        <scheme val="minor"/>
      </rPr>
      <t>le</t>
    </r>
    <r>
      <rPr>
        <sz val="20"/>
        <color theme="1"/>
        <rFont val="Segoe UI"/>
        <family val="2"/>
        <charset val="1"/>
      </rPr>
      <t>ɪʃ</t>
    </r>
    <r>
      <rPr>
        <sz val="20"/>
        <color theme="1"/>
        <rFont val="等线"/>
        <family val="2"/>
        <scheme val="minor"/>
      </rPr>
      <t>n/</t>
    </r>
    <phoneticPr fontId="1" type="noConversion"/>
  </si>
  <si>
    <t>编译</t>
    <phoneticPr fontId="1" type="noConversion"/>
  </si>
  <si>
    <t>linear algebra</t>
    <phoneticPr fontId="1" type="noConversion"/>
  </si>
  <si>
    <r>
      <t>/</t>
    </r>
    <r>
      <rPr>
        <sz val="20"/>
        <color theme="1"/>
        <rFont val="Segoe UI"/>
        <family val="3"/>
        <charset val="1"/>
      </rPr>
      <t>ˈ</t>
    </r>
    <r>
      <rPr>
        <sz val="20"/>
        <color theme="1"/>
        <rFont val="等线"/>
        <family val="3"/>
        <charset val="134"/>
        <scheme val="minor"/>
      </rPr>
      <t>l</t>
    </r>
    <r>
      <rPr>
        <sz val="20"/>
        <color theme="1"/>
        <rFont val="Segoe UI"/>
        <family val="3"/>
        <charset val="1"/>
      </rPr>
      <t>ɪ</t>
    </r>
    <r>
      <rPr>
        <sz val="20"/>
        <color theme="1"/>
        <rFont val="等线"/>
        <family val="3"/>
        <charset val="134"/>
        <scheme val="minor"/>
      </rPr>
      <t>ni</t>
    </r>
    <r>
      <rPr>
        <sz val="20"/>
        <color theme="1"/>
        <rFont val="Segoe UI"/>
        <family val="3"/>
        <charset val="1"/>
      </rPr>
      <t>ə</t>
    </r>
    <r>
      <rPr>
        <sz val="20"/>
        <color theme="1"/>
        <rFont val="等线"/>
        <family val="3"/>
        <charset val="134"/>
        <scheme val="minor"/>
      </rPr>
      <t xml:space="preserve">r </t>
    </r>
    <r>
      <rPr>
        <sz val="20"/>
        <color theme="1"/>
        <rFont val="Segoe UI"/>
        <family val="3"/>
        <charset val="1"/>
      </rPr>
      <t>ˈ</t>
    </r>
    <r>
      <rPr>
        <sz val="20"/>
        <color theme="1"/>
        <rFont val="等线"/>
        <family val="3"/>
        <charset val="134"/>
        <scheme val="minor"/>
      </rPr>
      <t>æld</t>
    </r>
    <r>
      <rPr>
        <sz val="20"/>
        <color theme="1"/>
        <rFont val="Segoe UI"/>
        <family val="3"/>
        <charset val="1"/>
      </rPr>
      <t>ʒɪ</t>
    </r>
    <r>
      <rPr>
        <sz val="20"/>
        <color theme="1"/>
        <rFont val="等线"/>
        <family val="3"/>
        <charset val="134"/>
        <scheme val="minor"/>
      </rPr>
      <t>br</t>
    </r>
    <r>
      <rPr>
        <sz val="20"/>
        <color theme="1"/>
        <rFont val="Segoe UI"/>
        <family val="3"/>
        <charset val="1"/>
      </rPr>
      <t>ə</t>
    </r>
    <r>
      <rPr>
        <sz val="20"/>
        <color theme="1"/>
        <rFont val="等线"/>
        <family val="3"/>
        <charset val="134"/>
        <scheme val="minor"/>
      </rPr>
      <t>/</t>
    </r>
    <phoneticPr fontId="1" type="noConversion"/>
  </si>
  <si>
    <t>线性代数</t>
    <phoneticPr fontId="1" type="noConversion"/>
  </si>
  <si>
    <t>缩进</t>
    <phoneticPr fontId="1" type="noConversion"/>
  </si>
  <si>
    <t>tradeoff</t>
    <phoneticPr fontId="1" type="noConversion"/>
  </si>
  <si>
    <r>
      <t>/</t>
    </r>
    <r>
      <rPr>
        <sz val="20"/>
        <color theme="1"/>
        <rFont val="Segoe UI"/>
        <family val="3"/>
        <charset val="1"/>
      </rPr>
      <t>ˈ</t>
    </r>
    <r>
      <rPr>
        <sz val="20"/>
        <color theme="1"/>
        <rFont val="等线"/>
        <family val="3"/>
        <charset val="134"/>
        <scheme val="minor"/>
      </rPr>
      <t>tre</t>
    </r>
    <r>
      <rPr>
        <sz val="20"/>
        <color theme="1"/>
        <rFont val="Segoe UI"/>
        <family val="3"/>
        <charset val="1"/>
      </rPr>
      <t>ɪˌ</t>
    </r>
    <r>
      <rPr>
        <sz val="20"/>
        <color theme="1"/>
        <rFont val="等线"/>
        <family val="3"/>
        <charset val="134"/>
        <scheme val="minor"/>
      </rPr>
      <t>d</t>
    </r>
    <r>
      <rPr>
        <sz val="20"/>
        <color theme="1"/>
        <rFont val="Segoe UI"/>
        <family val="3"/>
        <charset val="1"/>
      </rPr>
      <t>ɔ</t>
    </r>
    <r>
      <rPr>
        <sz val="20"/>
        <color theme="1"/>
        <rFont val="等线"/>
        <family val="3"/>
        <charset val="134"/>
        <scheme val="minor"/>
      </rPr>
      <t>f/</t>
    </r>
    <phoneticPr fontId="1" type="noConversion"/>
  </si>
  <si>
    <t>权衡</t>
    <phoneticPr fontId="1" type="noConversion"/>
  </si>
  <si>
    <t>compliant</t>
    <phoneticPr fontId="1" type="noConversion"/>
  </si>
  <si>
    <r>
      <t>/k</t>
    </r>
    <r>
      <rPr>
        <sz val="20"/>
        <color theme="1"/>
        <rFont val="Segoe UI"/>
        <family val="3"/>
        <charset val="1"/>
      </rPr>
      <t>ə</t>
    </r>
    <r>
      <rPr>
        <sz val="20"/>
        <color theme="1"/>
        <rFont val="等线"/>
        <family val="3"/>
        <charset val="134"/>
        <scheme val="minor"/>
      </rPr>
      <t>m</t>
    </r>
    <r>
      <rPr>
        <sz val="20"/>
        <color theme="1"/>
        <rFont val="Segoe UI"/>
        <family val="3"/>
        <charset val="1"/>
      </rPr>
      <t>ˈ</t>
    </r>
    <r>
      <rPr>
        <sz val="20"/>
        <color theme="1"/>
        <rFont val="等线"/>
        <family val="3"/>
        <charset val="134"/>
        <scheme val="minor"/>
      </rPr>
      <t>pla</t>
    </r>
    <r>
      <rPr>
        <sz val="20"/>
        <color theme="1"/>
        <rFont val="Segoe UI"/>
        <family val="3"/>
        <charset val="1"/>
      </rPr>
      <t>ɪə</t>
    </r>
    <r>
      <rPr>
        <sz val="20"/>
        <color theme="1"/>
        <rFont val="等线"/>
        <family val="3"/>
        <charset val="134"/>
        <scheme val="minor"/>
      </rPr>
      <t>nt/</t>
    </r>
    <phoneticPr fontId="1" type="noConversion"/>
  </si>
  <si>
    <t>兼容的; 顺从</t>
    <phoneticPr fontId="1" type="noConversion"/>
  </si>
  <si>
    <t>intersect</t>
    <phoneticPr fontId="1" type="noConversion"/>
  </si>
  <si>
    <r>
      <t>/</t>
    </r>
    <r>
      <rPr>
        <sz val="20"/>
        <color theme="1"/>
        <rFont val="Segoe UI"/>
        <family val="2"/>
        <charset val="1"/>
      </rPr>
      <t>ˌɪ</t>
    </r>
    <r>
      <rPr>
        <sz val="20"/>
        <color theme="1"/>
        <rFont val="等线"/>
        <family val="2"/>
        <scheme val="minor"/>
      </rPr>
      <t>nt</t>
    </r>
    <r>
      <rPr>
        <sz val="20"/>
        <color theme="1"/>
        <rFont val="Segoe UI"/>
        <family val="2"/>
        <charset val="1"/>
      </rPr>
      <t>əˈ</t>
    </r>
    <r>
      <rPr>
        <sz val="20"/>
        <color theme="1"/>
        <rFont val="等线"/>
        <family val="2"/>
        <scheme val="minor"/>
      </rPr>
      <t>sekt/</t>
    </r>
    <phoneticPr fontId="1" type="noConversion"/>
  </si>
  <si>
    <t xml:space="preserve">
交叉；相交</t>
    <phoneticPr fontId="1" type="noConversion"/>
  </si>
  <si>
    <t>velocity</t>
    <phoneticPr fontId="1" type="noConversion"/>
  </si>
  <si>
    <r>
      <t>/v</t>
    </r>
    <r>
      <rPr>
        <sz val="20"/>
        <color theme="1"/>
        <rFont val="Segoe UI"/>
        <family val="2"/>
        <charset val="1"/>
      </rPr>
      <t>əˈ</t>
    </r>
    <r>
      <rPr>
        <sz val="20"/>
        <color theme="1"/>
        <rFont val="等线"/>
        <family val="2"/>
        <scheme val="minor"/>
      </rPr>
      <t>l</t>
    </r>
    <r>
      <rPr>
        <sz val="20"/>
        <color theme="1"/>
        <rFont val="Segoe UI"/>
        <family val="2"/>
        <charset val="1"/>
      </rPr>
      <t>ɒ</t>
    </r>
    <r>
      <rPr>
        <sz val="20"/>
        <color theme="1"/>
        <rFont val="等线"/>
        <family val="2"/>
        <scheme val="minor"/>
      </rPr>
      <t>s</t>
    </r>
    <r>
      <rPr>
        <sz val="20"/>
        <color theme="1"/>
        <rFont val="Segoe UI"/>
        <family val="2"/>
        <charset val="1"/>
      </rPr>
      <t>ə</t>
    </r>
    <r>
      <rPr>
        <sz val="20"/>
        <color theme="1"/>
        <rFont val="等线"/>
        <family val="2"/>
        <scheme val="minor"/>
      </rPr>
      <t>ti/</t>
    </r>
    <phoneticPr fontId="1" type="noConversion"/>
  </si>
  <si>
    <t>速度</t>
    <phoneticPr fontId="1" type="noConversion"/>
  </si>
  <si>
    <t>sprite</t>
    <phoneticPr fontId="1" type="noConversion"/>
  </si>
  <si>
    <r>
      <t>/spra</t>
    </r>
    <r>
      <rPr>
        <sz val="20"/>
        <color theme="1"/>
        <rFont val="Segoe UI"/>
        <family val="2"/>
        <charset val="1"/>
      </rPr>
      <t>ɪ</t>
    </r>
    <r>
      <rPr>
        <sz val="20"/>
        <color theme="1"/>
        <rFont val="等线"/>
        <family val="2"/>
        <scheme val="minor"/>
      </rPr>
      <t>t/</t>
    </r>
    <phoneticPr fontId="1" type="noConversion"/>
  </si>
  <si>
    <t>小精灵</t>
    <phoneticPr fontId="1" type="noConversion"/>
  </si>
  <si>
    <t>rectangle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</si>
  <si>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rektæ</t>
    </r>
    <r>
      <rPr>
        <sz val="20"/>
        <color theme="1"/>
        <rFont val="Segoe UI"/>
        <family val="2"/>
        <charset val="238"/>
      </rPr>
      <t>ŋ</t>
    </r>
    <r>
      <rPr>
        <sz val="20"/>
        <color theme="1"/>
        <rFont val="Segoe UI"/>
        <family val="2"/>
        <charset val="1"/>
      </rPr>
      <t>ɡ</t>
    </r>
    <r>
      <rPr>
        <sz val="20"/>
        <color theme="1"/>
        <rFont val="等线"/>
        <family val="2"/>
        <scheme val="minor"/>
      </rPr>
      <t>l/</t>
    </r>
    <phoneticPr fontId="1" type="noConversion"/>
  </si>
  <si>
    <t>长方形</t>
    <phoneticPr fontId="1" type="noConversion"/>
  </si>
  <si>
    <t>collision</t>
    <phoneticPr fontId="1" type="noConversion"/>
  </si>
  <si>
    <r>
      <t>/k</t>
    </r>
    <r>
      <rPr>
        <sz val="20"/>
        <color theme="1"/>
        <rFont val="Segoe UI"/>
        <family val="2"/>
        <charset val="1"/>
      </rPr>
      <t>əˈ</t>
    </r>
    <r>
      <rPr>
        <sz val="20"/>
        <color theme="1"/>
        <rFont val="等线"/>
        <family val="2"/>
        <scheme val="minor"/>
      </rPr>
      <t>l</t>
    </r>
    <r>
      <rPr>
        <sz val="20"/>
        <color theme="1"/>
        <rFont val="Segoe UI"/>
        <family val="2"/>
        <charset val="1"/>
      </rPr>
      <t>ɪʒ</t>
    </r>
    <r>
      <rPr>
        <sz val="20"/>
        <color theme="1"/>
        <rFont val="等线"/>
        <family val="2"/>
        <scheme val="minor"/>
      </rPr>
      <t>n/</t>
    </r>
    <phoneticPr fontId="1" type="noConversion"/>
  </si>
  <si>
    <t>碰撞</t>
    <phoneticPr fontId="1" type="noConversion"/>
  </si>
  <si>
    <t>polygon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</si>
  <si>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p</t>
    </r>
    <r>
      <rPr>
        <sz val="20"/>
        <color theme="1"/>
        <rFont val="Segoe UI"/>
        <family val="2"/>
        <charset val="1"/>
      </rPr>
      <t>ɒ</t>
    </r>
    <r>
      <rPr>
        <sz val="20"/>
        <color theme="1"/>
        <rFont val="等线"/>
        <family val="2"/>
        <scheme val="minor"/>
      </rPr>
      <t>l</t>
    </r>
    <r>
      <rPr>
        <sz val="20"/>
        <color theme="1"/>
        <rFont val="Segoe UI"/>
        <family val="2"/>
        <charset val="1"/>
      </rPr>
      <t>ɪɡə</t>
    </r>
    <r>
      <rPr>
        <sz val="20"/>
        <color theme="1"/>
        <rFont val="等线"/>
        <family val="2"/>
        <scheme val="minor"/>
      </rPr>
      <t>n/</t>
    </r>
    <phoneticPr fontId="1" type="noConversion"/>
  </si>
  <si>
    <t>多边形</t>
    <phoneticPr fontId="1" type="noConversion"/>
  </si>
  <si>
    <t>iterate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</si>
  <si>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ˈɪ</t>
    </r>
    <r>
      <rPr>
        <sz val="20"/>
        <color theme="1"/>
        <rFont val="等线"/>
        <family val="2"/>
        <scheme val="minor"/>
      </rPr>
      <t>t</t>
    </r>
    <r>
      <rPr>
        <sz val="20"/>
        <color theme="1"/>
        <rFont val="Segoe UI"/>
        <family val="2"/>
        <charset val="1"/>
      </rPr>
      <t>ə</t>
    </r>
    <r>
      <rPr>
        <sz val="20"/>
        <color theme="1"/>
        <rFont val="等线"/>
        <family val="2"/>
        <scheme val="minor"/>
      </rPr>
      <t>re</t>
    </r>
    <r>
      <rPr>
        <sz val="20"/>
        <color theme="1"/>
        <rFont val="Segoe UI"/>
        <family val="2"/>
        <charset val="1"/>
      </rPr>
      <t>ɪ</t>
    </r>
    <r>
      <rPr>
        <sz val="20"/>
        <color theme="1"/>
        <rFont val="等线"/>
        <family val="2"/>
        <scheme val="minor"/>
      </rPr>
      <t>t/</t>
    </r>
    <phoneticPr fontId="1" type="noConversion"/>
  </si>
  <si>
    <t xml:space="preserve">
迭代</t>
    <phoneticPr fontId="1" type="noConversion"/>
  </si>
  <si>
    <t>hazard</t>
    <phoneticPr fontId="1" type="noConversion"/>
  </si>
  <si>
    <r>
      <t>/</t>
    </r>
    <r>
      <rPr>
        <sz val="20"/>
        <color theme="1"/>
        <rFont val="Segoe UI"/>
        <family val="2"/>
        <charset val="1"/>
      </rPr>
      <t>ˈ</t>
    </r>
    <r>
      <rPr>
        <sz val="20"/>
        <color theme="1"/>
        <rFont val="等线"/>
        <family val="2"/>
        <scheme val="minor"/>
      </rPr>
      <t>hæz</t>
    </r>
    <r>
      <rPr>
        <sz val="20"/>
        <color theme="1"/>
        <rFont val="Segoe UI"/>
        <family val="2"/>
        <charset val="1"/>
      </rPr>
      <t>ə</t>
    </r>
    <r>
      <rPr>
        <sz val="20"/>
        <color theme="1"/>
        <rFont val="等线"/>
        <family val="2"/>
        <scheme val="minor"/>
      </rPr>
      <t>d/</t>
    </r>
    <phoneticPr fontId="1" type="noConversion"/>
  </si>
  <si>
    <t>危险</t>
    <phoneticPr fontId="1" type="noConversion"/>
  </si>
  <si>
    <t>refactor</t>
    <phoneticPr fontId="1" type="noConversion"/>
  </si>
  <si>
    <t>重构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</si>
</sst>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微软雅黑"/>
      <family val="2"/>
      <charset val="134"/>
    </font>
    <font>
      <sz val="20"/>
      <color theme="1"/>
      <name val="Segoe UI"/>
      <family val="3"/>
      <charset val="1"/>
    </font>
    <font>
      <sz val="20"/>
      <color theme="1"/>
      <name val="Segoe UI"/>
      <family val="2"/>
      <charset val="1"/>
    </font>
    <font>
      <sz val="20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等线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微软雅黑"/>
        <family val="2"/>
        <charset val="134"/>
        <scheme val="none"/>
      </font>
      <numFmt numFmtId="19" formatCode="yyyy/m/d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等线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等线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等线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等线"/>
        <charset val="13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等线"/>
        <charset val="134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CF6AD-9AF9-4ECF-BDD0-B84E6BB48408}" name="表1_8822" displayName="表1_8822" ref="A1:I11" totalsRowShown="0" headerRowDxfId="62" dataDxfId="61">
  <autoFilter ref="A1:I11" xr:uid="{0C79A950-6278-4E06-B1E4-75EA0EB6EBAC}"/>
  <sortState xmlns:xlrd2="http://schemas.microsoft.com/office/spreadsheetml/2017/richdata2" ref="A2:G7">
    <sortCondition ref="A1:A7"/>
  </sortState>
  <tableColumns count="9">
    <tableColumn id="1" xr3:uid="{B81C60A3-67ED-445B-AD7D-227A2C59EAB1}" name="序号" dataDxfId="60"/>
    <tableColumn id="2" xr3:uid="{1482EDE1-0E5D-41AC-BAC2-35F87B07659C}" name="单词" dataDxfId="59"/>
    <tableColumn id="3" xr3:uid="{12F2CC43-555C-4A4E-8864-42072E7675CD}" name="音标" dataDxfId="58"/>
    <tableColumn id="4" xr3:uid="{3769BCC1-337D-4653-A982-35A8A0597FC5}" name="翻译" dataDxfId="57"/>
    <tableColumn id="5" xr3:uid="{20693796-9122-4277-B035-A0A8DD75C044}" name="默写" dataDxfId="56"/>
    <tableColumn id="6" xr3:uid="{9BCA7220-452A-4DA7-A580-9AD64592236C}" name="结果" dataDxfId="55">
      <calculatedColumnFormula>IF(表1_8822[[#This Row],[单词]]=表1_8822[[#This Row],[默写]],"true","false")</calculatedColumnFormula>
    </tableColumn>
    <tableColumn id="7" xr3:uid="{50292F66-0015-43D7-873B-4ED9811E6D35}" name="随机数" dataDxfId="54">
      <calculatedColumnFormula>RAND()</calculatedColumnFormula>
    </tableColumn>
    <tableColumn id="8" xr3:uid="{83B61ED7-76AA-46D9-AFF2-D47F4850A75F}" name="错误次数" dataDxfId="53"/>
    <tableColumn id="9" xr3:uid="{59258ECF-954E-4391-B4C8-BF686EC36249}" name="temp" dataDxfId="5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79BC8-4300-40F6-ABC6-D0632861B8D1}" name="表1_8823" displayName="表1_8823" ref="A1:I8" totalsRowShown="0" headerRowDxfId="51" dataDxfId="50">
  <autoFilter ref="A1:I8" xr:uid="{0C79A950-6278-4E06-B1E4-75EA0EB6EBAC}"/>
  <sortState xmlns:xlrd2="http://schemas.microsoft.com/office/spreadsheetml/2017/richdata2" ref="A2:G7">
    <sortCondition ref="A1:A7"/>
  </sortState>
  <tableColumns count="9">
    <tableColumn id="1" xr3:uid="{5E269C68-90D8-46E5-AA3B-65CE3415FE80}" name="序号" dataDxfId="49"/>
    <tableColumn id="2" xr3:uid="{8E66FCBA-D1E9-46C2-B7C2-66CE787E47C1}" name="单词" dataDxfId="48"/>
    <tableColumn id="3" xr3:uid="{E6DD52A5-894F-4C64-A139-55ED976703A5}" name="音标" dataDxfId="47"/>
    <tableColumn id="4" xr3:uid="{B1A06F0F-7385-423E-85AE-2915B951F33A}" name="翻译" dataDxfId="46"/>
    <tableColumn id="5" xr3:uid="{8CFBA5E1-A718-4DA0-B557-D401CC375EAF}" name="默写" dataDxfId="45"/>
    <tableColumn id="6" xr3:uid="{8B7F4C0B-3722-46E3-8406-DD57BCCA826B}" name="结果" dataDxfId="44">
      <calculatedColumnFormula>IF(表1_8823[[#This Row],[单词]]=表1_8823[[#This Row],[默写]],"true","false")</calculatedColumnFormula>
    </tableColumn>
    <tableColumn id="7" xr3:uid="{8AD5614A-1EE2-469C-9704-7682A1112903}" name="随机数" dataDxfId="43">
      <calculatedColumnFormula>RAND()</calculatedColumnFormula>
    </tableColumn>
    <tableColumn id="8" xr3:uid="{1CAB7C8E-C9A5-44A7-BBB4-03A3E1B47A3A}" name="错误次数" dataDxfId="42"/>
    <tableColumn id="9" xr3:uid="{AD5FF949-1484-40B1-A8B8-F189427912BE}" name="temp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065477-D6F8-4B18-9D5D-458417702FA5}" name="表1_8824" displayName="表1_8824" ref="A1:I8" totalsRowShown="0" headerRowDxfId="40" dataDxfId="39">
  <autoFilter ref="A1:I8" xr:uid="{0C79A950-6278-4E06-B1E4-75EA0EB6EBAC}"/>
  <sortState xmlns:xlrd2="http://schemas.microsoft.com/office/spreadsheetml/2017/richdata2" ref="A2:G7">
    <sortCondition ref="A1:A7"/>
  </sortState>
  <tableColumns count="9">
    <tableColumn id="1" xr3:uid="{C70DF79A-473D-42B0-9CF4-282F66332D8E}" name="序号" dataDxfId="38"/>
    <tableColumn id="2" xr3:uid="{C29C1513-F31C-40FA-A795-CF17D641D618}" name="单词" dataDxfId="37"/>
    <tableColumn id="3" xr3:uid="{6315386D-5F33-438F-8989-CF8A46BAD113}" name="音标" dataDxfId="36"/>
    <tableColumn id="4" xr3:uid="{765CD049-2536-4A25-B2B2-E30380BA86D1}" name="翻译" dataDxfId="35"/>
    <tableColumn id="5" xr3:uid="{6CAC1B8F-90AB-4D17-855A-05DE7DAD4EB9}" name="默写" dataDxfId="34"/>
    <tableColumn id="6" xr3:uid="{5696FA63-92F7-444E-9C79-5BD7A2F8FB5F}" name="结果" dataDxfId="33">
      <calculatedColumnFormula>IF(表1_8824[[#This Row],[单词]]=表1_8824[[#This Row],[默写]],"true","false")</calculatedColumnFormula>
    </tableColumn>
    <tableColumn id="7" xr3:uid="{ACB41684-942C-48C8-87B9-DD2838C172C5}" name="随机数" dataDxfId="32">
      <calculatedColumnFormula>RAND()</calculatedColumnFormula>
    </tableColumn>
    <tableColumn id="8" xr3:uid="{BCD122E1-8BD1-4A86-92D0-D26C6F8AE46A}" name="错误次数" dataDxfId="31"/>
    <tableColumn id="9" xr3:uid="{A4985714-3691-4A69-B956-10CE343DD830}" name="temp" dataDxfId="3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EA691E-B118-40BB-B648-49576C6D2C98}" name="表1_812" displayName="表1_812" ref="A1:I10" totalsRowShown="0" headerRowDxfId="29" dataDxfId="28">
  <autoFilter ref="A1:I10" xr:uid="{0C79A950-6278-4E06-B1E4-75EA0EB6EBAC}"/>
  <sortState xmlns:xlrd2="http://schemas.microsoft.com/office/spreadsheetml/2017/richdata2" ref="A2:G7">
    <sortCondition ref="A1:A7"/>
  </sortState>
  <tableColumns count="9">
    <tableColumn id="1" xr3:uid="{883E554D-A772-437C-9E77-0678DBD178AD}" name="序号" dataDxfId="27"/>
    <tableColumn id="2" xr3:uid="{2A42EAE3-DE9E-4D0D-A6D9-32C3033AC046}" name="词组" dataDxfId="26"/>
    <tableColumn id="3" xr3:uid="{07D5FEF3-326D-4D70-8F69-7094125A05DC}" name="出处" dataDxfId="25"/>
    <tableColumn id="4" xr3:uid="{0013C7DC-C7AF-45A7-A313-7A55B54E07BF}" name="翻译" dataDxfId="24"/>
    <tableColumn id="5" xr3:uid="{C94B0E08-45E5-48A8-8701-08C409FF157E}" name="默写" dataDxfId="23"/>
    <tableColumn id="6" xr3:uid="{841AE484-7662-42CF-808A-BA5C5F455969}" name="结果" dataDxfId="22">
      <calculatedColumnFormula>IF(表1_812[[#This Row],[词组]]=表1_812[[#This Row],[默写]],"true","false")</calculatedColumnFormula>
    </tableColumn>
    <tableColumn id="7" xr3:uid="{188EC8A1-2E20-4AEF-83AA-C6FA3E5C5A9B}" name="随机数" dataDxfId="21">
      <calculatedColumnFormula>RAND()</calculatedColumnFormula>
    </tableColumn>
    <tableColumn id="8" xr3:uid="{90B30AA5-2268-4C42-A9D4-A6F72BCE9BF1}" name="错误次数" dataDxfId="20"/>
    <tableColumn id="9" xr3:uid="{9087B70F-B10A-4B36-999E-E93709E8FE5E}" name="temp" dataDxf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40C10B6-5E18-4D02-B50F-811E8BC599BA}" name="表8_11126913" displayName="表8_11126913" ref="K6:L10" totalsRowShown="0" headerRowDxfId="18">
  <autoFilter ref="K6:L10" xr:uid="{7514FFE4-E5C7-4C61-8BA1-2AD190E7E7FC}"/>
  <tableColumns count="2">
    <tableColumn id="1" xr3:uid="{3C3BE2A0-5D83-47EA-B9D2-BACFB9879B92}" name="日期" dataDxfId="17"/>
    <tableColumn id="2" xr3:uid="{4866E288-1C65-4D62-9C88-2C1F90A480DF}" name="错误数" dataDxfId="1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3F6CB16-B5D2-4ED0-BF73-68FBDF964635}" name="表1_882" displayName="表1_882" ref="A1:I8" totalsRowShown="0" headerRowDxfId="15" dataDxfId="14">
  <autoFilter ref="A1:I8" xr:uid="{0C79A950-6278-4E06-B1E4-75EA0EB6EBAC}"/>
  <sortState xmlns:xlrd2="http://schemas.microsoft.com/office/spreadsheetml/2017/richdata2" ref="A2:G7">
    <sortCondition ref="A1:A7"/>
  </sortState>
  <tableColumns count="9">
    <tableColumn id="1" xr3:uid="{35E23C06-D669-40E9-BFB6-385958F71C49}" name="序号" dataDxfId="13"/>
    <tableColumn id="2" xr3:uid="{8F67E226-901E-4B90-AD2A-A4EF5A9B1C82}" name="单词" dataDxfId="12"/>
    <tableColumn id="3" xr3:uid="{04F79930-61E7-4440-8DE4-413852227479}" name="音标" dataDxfId="11"/>
    <tableColumn id="4" xr3:uid="{6B9E0832-DCE4-49BC-8FCA-63F937A6FB70}" name="翻译" dataDxfId="10"/>
    <tableColumn id="5" xr3:uid="{BFF78518-A1A4-4813-92E8-C39A4AB8516F}" name="默写" dataDxfId="9"/>
    <tableColumn id="6" xr3:uid="{E536D12F-93BA-4E25-A20A-DAF6CBB172A8}" name="结果" dataDxfId="8">
      <calculatedColumnFormula>IF(表1_882[[#This Row],[单词]]=表1_882[[#This Row],[默写]],"true","false")</calculatedColumnFormula>
    </tableColumn>
    <tableColumn id="7" xr3:uid="{AF53FBC6-0A2B-4F4C-BBA0-927691298489}" name="随机数" dataDxfId="7">
      <calculatedColumnFormula>RAND()</calculatedColumnFormula>
    </tableColumn>
    <tableColumn id="8" xr3:uid="{BD2125E6-1273-49B8-99D7-DEE9948974B0}" name="错误次数" dataDxfId="6"/>
    <tableColumn id="9" xr3:uid="{4828E1F7-E6FD-440F-B8EB-A1421BACF7D7}" name="temp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9CB-7A21-4938-B4F2-41B2914433F3}">
  <dimension ref="A1:L13"/>
  <sheetViews>
    <sheetView zoomScale="115" zoomScaleNormal="115" workbookViewId="0">
      <selection activeCell="C14" sqref="C14"/>
    </sheetView>
  </sheetViews>
  <sheetFormatPr defaultRowHeight="24.75" x14ac:dyDescent="0.4"/>
  <cols>
    <col min="1" max="1" width="14" style="3" customWidth="1"/>
    <col min="2" max="2" width="25.875" style="3" customWidth="1"/>
    <col min="3" max="3" width="30.875" customWidth="1"/>
    <col min="4" max="4" width="32.875" customWidth="1"/>
    <col min="5" max="5" width="30.375" customWidth="1"/>
    <col min="6" max="6" width="14.125" customWidth="1"/>
    <col min="7" max="7" width="11.125" hidden="1" customWidth="1"/>
    <col min="8" max="8" width="19.5" customWidth="1"/>
    <col min="9" max="9" width="21.875" customWidth="1"/>
    <col min="10" max="10" width="18.25" customWidth="1"/>
    <col min="11" max="11" width="23.125" style="10" customWidth="1"/>
    <col min="12" max="12" width="22.375" style="10" customWidth="1"/>
  </cols>
  <sheetData>
    <row r="1" spans="1:12" ht="26.25" x14ac:dyDescent="0.4">
      <c r="A1" s="4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5" t="s">
        <v>5</v>
      </c>
      <c r="H1" s="5" t="s">
        <v>7</v>
      </c>
      <c r="I1" s="5" t="s">
        <v>8</v>
      </c>
    </row>
    <row r="2" spans="1:12" ht="30.95" customHeight="1" x14ac:dyDescent="0.4">
      <c r="A2" s="6">
        <v>1</v>
      </c>
      <c r="B2" s="1" t="s">
        <v>16</v>
      </c>
      <c r="C2" s="7" t="s">
        <v>17</v>
      </c>
      <c r="D2" s="1" t="s">
        <v>18</v>
      </c>
      <c r="E2" s="7"/>
      <c r="F2" s="7" t="str">
        <f>IF(表1_8822[[#This Row],[单词]]=表1_8822[[#This Row],[默写]],"true","false")</f>
        <v>false</v>
      </c>
      <c r="G2" s="8">
        <f t="shared" ref="G2:G8" ca="1" si="0">RAND()</f>
        <v>0.90818179279580047</v>
      </c>
      <c r="H2" s="8"/>
      <c r="I2" s="8"/>
    </row>
    <row r="3" spans="1:12" ht="30.95" customHeight="1" x14ac:dyDescent="0.4">
      <c r="A3" s="6">
        <v>2</v>
      </c>
      <c r="B3" s="1" t="s">
        <v>19</v>
      </c>
      <c r="C3" s="7" t="s">
        <v>20</v>
      </c>
      <c r="D3" s="13" t="s">
        <v>21</v>
      </c>
      <c r="E3" s="7"/>
      <c r="F3" s="7" t="str">
        <f>IF(表1_8822[[#This Row],[单词]]=表1_8822[[#This Row],[默写]],"true","false")</f>
        <v>false</v>
      </c>
      <c r="G3" s="8">
        <f t="shared" ca="1" si="0"/>
        <v>0.63983950296702796</v>
      </c>
      <c r="H3" s="8"/>
      <c r="I3" s="8"/>
    </row>
    <row r="4" spans="1:12" ht="30.95" customHeight="1" x14ac:dyDescent="0.4">
      <c r="A4" s="6">
        <v>3</v>
      </c>
      <c r="B4" s="1" t="s">
        <v>22</v>
      </c>
      <c r="C4" s="7" t="s">
        <v>23</v>
      </c>
      <c r="D4" s="1" t="s">
        <v>24</v>
      </c>
      <c r="E4" s="7"/>
      <c r="F4" s="7" t="str">
        <f>IF(表1_8822[[#This Row],[单词]]=表1_8822[[#This Row],[默写]],"true","false")</f>
        <v>false</v>
      </c>
      <c r="G4" s="8">
        <f t="shared" ca="1" si="0"/>
        <v>0.51104239482402791</v>
      </c>
      <c r="H4" s="8"/>
      <c r="I4" s="8"/>
      <c r="L4" s="11"/>
    </row>
    <row r="5" spans="1:12" ht="30.95" customHeight="1" x14ac:dyDescent="0.4">
      <c r="A5" s="6">
        <v>4</v>
      </c>
      <c r="B5" s="1" t="s">
        <v>25</v>
      </c>
      <c r="C5" s="7" t="s">
        <v>26</v>
      </c>
      <c r="D5" s="1" t="s">
        <v>27</v>
      </c>
      <c r="E5" s="7"/>
      <c r="F5" s="7" t="str">
        <f>IF(表1_8822[[#This Row],[单词]]=表1_8822[[#This Row],[默写]],"true","false")</f>
        <v>false</v>
      </c>
      <c r="G5" s="8">
        <f t="shared" ca="1" si="0"/>
        <v>0.45422249274557003</v>
      </c>
      <c r="H5" s="8"/>
      <c r="I5" s="8"/>
      <c r="L5" s="11"/>
    </row>
    <row r="6" spans="1:12" ht="30.95" customHeight="1" x14ac:dyDescent="0.4">
      <c r="A6" s="6">
        <v>5</v>
      </c>
      <c r="B6" s="1" t="s">
        <v>28</v>
      </c>
      <c r="C6" s="7" t="s">
        <v>29</v>
      </c>
      <c r="D6" s="1" t="s">
        <v>30</v>
      </c>
      <c r="E6" s="7"/>
      <c r="F6" s="7" t="str">
        <f>IF(表1_8822[[#This Row],[单词]]=表1_8822[[#This Row],[默写]],"true","false")</f>
        <v>false</v>
      </c>
      <c r="G6" s="8">
        <f t="shared" ca="1" si="0"/>
        <v>0.22479445986745406</v>
      </c>
      <c r="H6" s="8"/>
      <c r="I6" s="8"/>
      <c r="K6" s="12"/>
      <c r="L6" s="2"/>
    </row>
    <row r="7" spans="1:12" ht="30.95" customHeight="1" x14ac:dyDescent="0.4">
      <c r="A7" s="6">
        <v>6</v>
      </c>
      <c r="B7" s="1" t="s">
        <v>31</v>
      </c>
      <c r="C7" s="7" t="s">
        <v>32</v>
      </c>
      <c r="D7" s="1" t="s">
        <v>33</v>
      </c>
      <c r="E7" s="7"/>
      <c r="F7" s="7" t="str">
        <f>IF(表1_8822[[#This Row],[单词]]=表1_8822[[#This Row],[默写]],"true","false")</f>
        <v>false</v>
      </c>
      <c r="G7" s="8">
        <f t="shared" ca="1" si="0"/>
        <v>0.63751784236440601</v>
      </c>
      <c r="H7" s="8"/>
      <c r="I7" s="8"/>
      <c r="K7" s="11"/>
      <c r="L7" s="1"/>
    </row>
    <row r="8" spans="1:12" ht="30.95" customHeight="1" x14ac:dyDescent="0.4">
      <c r="A8" s="6">
        <v>7</v>
      </c>
      <c r="B8" s="1" t="s">
        <v>34</v>
      </c>
      <c r="C8" s="8" t="s">
        <v>35</v>
      </c>
      <c r="D8" s="1" t="s">
        <v>36</v>
      </c>
      <c r="E8" s="8"/>
      <c r="F8" s="8" t="str">
        <f>IF(表1_8822[[#This Row],[单词]]=表1_8822[[#This Row],[默写]],"true","false")</f>
        <v>false</v>
      </c>
      <c r="G8" s="8">
        <f t="shared" ca="1" si="0"/>
        <v>0.56286724126772569</v>
      </c>
      <c r="H8" s="8"/>
      <c r="I8" s="8"/>
      <c r="K8" s="11"/>
      <c r="L8" s="1"/>
    </row>
    <row r="9" spans="1:12" ht="30.75" x14ac:dyDescent="0.4">
      <c r="A9" s="6">
        <v>8</v>
      </c>
      <c r="B9" s="8" t="s">
        <v>14</v>
      </c>
      <c r="C9" s="8" t="s">
        <v>15</v>
      </c>
      <c r="D9" s="8" t="s">
        <v>37</v>
      </c>
      <c r="E9" s="8"/>
      <c r="F9" s="8" t="str">
        <f>IF(表1_8822[[#This Row],[单词]]=表1_8822[[#This Row],[默写]],"true","false")</f>
        <v>false</v>
      </c>
      <c r="G9" s="8">
        <f ca="1">RAND()</f>
        <v>0.12699843580070391</v>
      </c>
      <c r="H9" s="8"/>
      <c r="I9" s="8"/>
    </row>
    <row r="10" spans="1:12" ht="30.75" x14ac:dyDescent="0.4">
      <c r="A10" s="6">
        <v>9</v>
      </c>
      <c r="B10" s="8" t="s">
        <v>38</v>
      </c>
      <c r="C10" s="8" t="s">
        <v>39</v>
      </c>
      <c r="D10" s="8" t="s">
        <v>40</v>
      </c>
      <c r="E10" s="8"/>
      <c r="F10" s="8" t="str">
        <f>IF(表1_8822[[#This Row],[单词]]=表1_8822[[#This Row],[默写]],"true","false")</f>
        <v>false</v>
      </c>
      <c r="G10" s="8">
        <f ca="1">RAND()</f>
        <v>5.3109099592897002E-2</v>
      </c>
      <c r="H10" s="8"/>
      <c r="I10" s="8"/>
    </row>
    <row r="11" spans="1:12" ht="30.75" x14ac:dyDescent="0.4">
      <c r="A11" s="6">
        <v>10</v>
      </c>
      <c r="B11" s="8" t="s">
        <v>41</v>
      </c>
      <c r="C11" s="8" t="s">
        <v>42</v>
      </c>
      <c r="D11" s="8" t="s">
        <v>43</v>
      </c>
      <c r="E11" s="8"/>
      <c r="F11" s="8" t="str">
        <f>IF(表1_8822[[#This Row],[单词]]=表1_8822[[#This Row],[默写]],"true","false")</f>
        <v>false</v>
      </c>
      <c r="G11" s="8">
        <f ca="1">RAND()</f>
        <v>0.75491275553023662</v>
      </c>
      <c r="H11" s="8"/>
      <c r="I11" s="8"/>
    </row>
    <row r="13" spans="1:12" x14ac:dyDescent="0.4">
      <c r="K13" s="14"/>
      <c r="L13" s="14"/>
    </row>
  </sheetData>
  <mergeCells count="1">
    <mergeCell ref="K13:L13"/>
  </mergeCells>
  <phoneticPr fontId="1" type="noConversion"/>
  <conditionalFormatting sqref="F1:F1048576">
    <cfRule type="containsText" dxfId="4" priority="1" operator="containsText" text="false">
      <formula>NOT(ISERROR(SEARCH("false",F1)))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A3A0-EBBB-4769-9E86-6E6968E46984}">
  <dimension ref="A1:L13"/>
  <sheetViews>
    <sheetView zoomScale="115" zoomScaleNormal="115" workbookViewId="0">
      <selection activeCell="D14" sqref="D14"/>
    </sheetView>
  </sheetViews>
  <sheetFormatPr defaultRowHeight="24.75" x14ac:dyDescent="0.4"/>
  <cols>
    <col min="1" max="1" width="17" style="3" customWidth="1"/>
    <col min="2" max="2" width="25.875" style="3" customWidth="1"/>
    <col min="3" max="3" width="24.625" customWidth="1"/>
    <col min="4" max="4" width="32.875" customWidth="1"/>
    <col min="5" max="5" width="30.375" customWidth="1"/>
    <col min="6" max="6" width="14.125" customWidth="1"/>
    <col min="7" max="7" width="11.125" hidden="1" customWidth="1"/>
    <col min="8" max="8" width="19.5" customWidth="1"/>
    <col min="9" max="9" width="21.875" customWidth="1"/>
    <col min="10" max="10" width="18.25" customWidth="1"/>
    <col min="11" max="11" width="23.125" style="10" customWidth="1"/>
    <col min="12" max="12" width="22.375" style="10" customWidth="1"/>
  </cols>
  <sheetData>
    <row r="1" spans="1:12" ht="26.25" x14ac:dyDescent="0.4">
      <c r="A1" s="4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5" t="s">
        <v>5</v>
      </c>
      <c r="H1" s="5" t="s">
        <v>7</v>
      </c>
      <c r="I1" s="5" t="s">
        <v>8</v>
      </c>
    </row>
    <row r="2" spans="1:12" ht="30.95" customHeight="1" x14ac:dyDescent="0.4">
      <c r="A2" s="6">
        <v>1</v>
      </c>
      <c r="B2" s="1" t="s">
        <v>44</v>
      </c>
      <c r="C2" s="7" t="s">
        <v>45</v>
      </c>
      <c r="D2" s="13" t="s">
        <v>46</v>
      </c>
      <c r="E2" s="7"/>
      <c r="F2" s="7" t="str">
        <f>IF(表1_8823[[#This Row],[单词]]=表1_8823[[#This Row],[默写]],"true","false")</f>
        <v>false</v>
      </c>
      <c r="G2" s="8">
        <f t="shared" ref="G2:G8" ca="1" si="0">RAND()</f>
        <v>0.70969879882816644</v>
      </c>
      <c r="H2" s="8"/>
      <c r="I2" s="8"/>
    </row>
    <row r="3" spans="1:12" ht="30.95" customHeight="1" x14ac:dyDescent="0.4">
      <c r="A3" s="6">
        <v>2</v>
      </c>
      <c r="B3" s="1" t="s">
        <v>47</v>
      </c>
      <c r="C3" s="7" t="s">
        <v>48</v>
      </c>
      <c r="D3" s="1" t="s">
        <v>49</v>
      </c>
      <c r="E3" s="7"/>
      <c r="F3" s="7" t="str">
        <f>IF(表1_8823[[#This Row],[单词]]=表1_8823[[#This Row],[默写]],"true","false")</f>
        <v>false</v>
      </c>
      <c r="G3" s="8">
        <f t="shared" ca="1" si="0"/>
        <v>9.164694226922887E-2</v>
      </c>
      <c r="H3" s="8"/>
      <c r="I3" s="8"/>
    </row>
    <row r="4" spans="1:12" ht="30.95" customHeight="1" x14ac:dyDescent="0.4">
      <c r="A4" s="6">
        <v>3</v>
      </c>
      <c r="B4" s="1" t="s">
        <v>50</v>
      </c>
      <c r="C4" s="7" t="s">
        <v>51</v>
      </c>
      <c r="D4" s="1" t="s">
        <v>52</v>
      </c>
      <c r="E4" s="7"/>
      <c r="F4" s="7" t="str">
        <f>IF(表1_8823[[#This Row],[单词]]=表1_8823[[#This Row],[默写]],"true","false")</f>
        <v>false</v>
      </c>
      <c r="G4" s="8">
        <f t="shared" ca="1" si="0"/>
        <v>6.0861908706993373E-2</v>
      </c>
      <c r="H4" s="8"/>
      <c r="I4" s="8"/>
      <c r="L4" s="11"/>
    </row>
    <row r="5" spans="1:12" ht="30.95" customHeight="1" x14ac:dyDescent="0.4">
      <c r="A5" s="6">
        <v>4</v>
      </c>
      <c r="B5" s="1" t="s">
        <v>53</v>
      </c>
      <c r="C5" s="7" t="s">
        <v>54</v>
      </c>
      <c r="D5" s="1" t="s">
        <v>55</v>
      </c>
      <c r="E5" s="7"/>
      <c r="F5" s="7" t="str">
        <f>IF(表1_8823[[#This Row],[单词]]=表1_8823[[#This Row],[默写]],"true","false")</f>
        <v>false</v>
      </c>
      <c r="G5" s="8">
        <f t="shared" ca="1" si="0"/>
        <v>0.36341367346398468</v>
      </c>
      <c r="H5" s="8"/>
      <c r="I5" s="8"/>
      <c r="L5" s="11"/>
    </row>
    <row r="6" spans="1:12" ht="30.95" customHeight="1" x14ac:dyDescent="0.4">
      <c r="A6" s="6">
        <v>5</v>
      </c>
      <c r="B6" s="1" t="s">
        <v>56</v>
      </c>
      <c r="C6" s="7" t="s">
        <v>57</v>
      </c>
      <c r="D6" s="1" t="s">
        <v>58</v>
      </c>
      <c r="E6" s="7"/>
      <c r="F6" s="7" t="str">
        <f>IF(表1_8823[[#This Row],[单词]]=表1_8823[[#This Row],[默写]],"true","false")</f>
        <v>false</v>
      </c>
      <c r="G6" s="8">
        <f t="shared" ca="1" si="0"/>
        <v>2.4694283353152713E-3</v>
      </c>
      <c r="H6" s="8"/>
      <c r="I6" s="8"/>
      <c r="K6" s="12"/>
      <c r="L6" s="2"/>
    </row>
    <row r="7" spans="1:12" ht="30.95" customHeight="1" x14ac:dyDescent="0.4">
      <c r="A7" s="6">
        <v>6</v>
      </c>
      <c r="B7" s="1" t="s">
        <v>59</v>
      </c>
      <c r="C7" s="7" t="s">
        <v>60</v>
      </c>
      <c r="D7" s="1" t="s">
        <v>61</v>
      </c>
      <c r="E7" s="7"/>
      <c r="F7" s="7" t="str">
        <f>IF(表1_8823[[#This Row],[单词]]=表1_8823[[#This Row],[默写]],"true","false")</f>
        <v>false</v>
      </c>
      <c r="G7" s="8">
        <f t="shared" ca="1" si="0"/>
        <v>0.74707016439085894</v>
      </c>
      <c r="H7" s="8"/>
      <c r="I7" s="8"/>
      <c r="K7" s="11"/>
      <c r="L7" s="1"/>
    </row>
    <row r="8" spans="1:12" ht="30.95" customHeight="1" x14ac:dyDescent="0.4">
      <c r="A8" s="6">
        <v>7</v>
      </c>
      <c r="B8" s="1"/>
      <c r="C8" s="8"/>
      <c r="D8" s="1"/>
      <c r="E8" s="8"/>
      <c r="F8" s="8" t="str">
        <f>IF(表1_8823[[#This Row],[单词]]=表1_8823[[#This Row],[默写]],"true","false")</f>
        <v>true</v>
      </c>
      <c r="G8" s="8">
        <f t="shared" ca="1" si="0"/>
        <v>0.2519031944490937</v>
      </c>
      <c r="H8" s="8"/>
      <c r="I8" s="8"/>
      <c r="K8" s="11"/>
      <c r="L8" s="1"/>
    </row>
    <row r="13" spans="1:12" x14ac:dyDescent="0.4">
      <c r="K13" s="14"/>
      <c r="L13" s="14"/>
    </row>
  </sheetData>
  <mergeCells count="1">
    <mergeCell ref="K13:L13"/>
  </mergeCells>
  <phoneticPr fontId="1" type="noConversion"/>
  <conditionalFormatting sqref="F1:F1048576">
    <cfRule type="containsText" dxfId="3" priority="1" operator="containsText" text="false">
      <formula>NOT(ISERROR(SEARCH("false",F1)))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80F2-2EA3-4BDD-99FF-905E689F8027}">
  <dimension ref="A1:L13"/>
  <sheetViews>
    <sheetView tabSelected="1" zoomScale="115" zoomScaleNormal="115" workbookViewId="0">
      <selection activeCell="E12" sqref="E12"/>
    </sheetView>
  </sheetViews>
  <sheetFormatPr defaultRowHeight="24.75" x14ac:dyDescent="0.4"/>
  <cols>
    <col min="1" max="1" width="17" style="3" customWidth="1"/>
    <col min="2" max="2" width="25.875" style="3" customWidth="1"/>
    <col min="3" max="3" width="24.625" customWidth="1"/>
    <col min="4" max="4" width="32.875" customWidth="1"/>
    <col min="5" max="5" width="30.375" customWidth="1"/>
    <col min="6" max="6" width="14.125" customWidth="1"/>
    <col min="7" max="7" width="11.125" hidden="1" customWidth="1"/>
    <col min="8" max="8" width="19.5" customWidth="1"/>
    <col min="9" max="9" width="21.875" customWidth="1"/>
    <col min="10" max="10" width="18.25" customWidth="1"/>
    <col min="11" max="11" width="23.125" style="10" customWidth="1"/>
    <col min="12" max="12" width="22.375" style="10" customWidth="1"/>
  </cols>
  <sheetData>
    <row r="1" spans="1:12" ht="26.25" x14ac:dyDescent="0.4">
      <c r="A1" s="4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5" t="s">
        <v>5</v>
      </c>
      <c r="H1" s="5" t="s">
        <v>7</v>
      </c>
      <c r="I1" s="5" t="s">
        <v>8</v>
      </c>
    </row>
    <row r="2" spans="1:12" ht="30.95" customHeight="1" x14ac:dyDescent="0.4">
      <c r="A2" s="6">
        <v>1</v>
      </c>
      <c r="B2" s="1" t="s">
        <v>62</v>
      </c>
      <c r="C2" s="7" t="s">
        <v>63</v>
      </c>
      <c r="D2" s="13" t="s">
        <v>64</v>
      </c>
      <c r="E2" s="7"/>
      <c r="F2" s="7" t="str">
        <f>IF(表1_8824[[#This Row],[单词]]=表1_8824[[#This Row],[默写]],"true","false")</f>
        <v>false</v>
      </c>
      <c r="G2" s="8">
        <f t="shared" ref="G2:G8" ca="1" si="0">RAND()</f>
        <v>3.7689084768694814E-2</v>
      </c>
      <c r="H2" s="8"/>
      <c r="I2" s="8"/>
    </row>
    <row r="3" spans="1:12" ht="30.95" customHeight="1" x14ac:dyDescent="0.4">
      <c r="A3" s="6">
        <v>2</v>
      </c>
      <c r="B3" s="1" t="s">
        <v>65</v>
      </c>
      <c r="C3" s="7" t="s">
        <v>66</v>
      </c>
      <c r="D3" s="1" t="s">
        <v>67</v>
      </c>
      <c r="E3" s="7"/>
      <c r="F3" s="7" t="str">
        <f>IF(表1_8824[[#This Row],[单词]]=表1_8824[[#This Row],[默写]],"true","false")</f>
        <v>false</v>
      </c>
      <c r="G3" s="8">
        <f t="shared" ca="1" si="0"/>
        <v>0.19836298996293666</v>
      </c>
      <c r="H3" s="8"/>
      <c r="I3" s="8"/>
    </row>
    <row r="4" spans="1:12" ht="30.95" customHeight="1" x14ac:dyDescent="0.4">
      <c r="A4" s="6">
        <v>3</v>
      </c>
      <c r="B4" s="1" t="s">
        <v>68</v>
      </c>
      <c r="C4" s="7"/>
      <c r="D4" s="1" t="s">
        <v>69</v>
      </c>
      <c r="E4" s="7"/>
      <c r="F4" s="7" t="str">
        <f>IF(表1_8824[[#This Row],[单词]]=表1_8824[[#This Row],[默写]],"true","false")</f>
        <v>false</v>
      </c>
      <c r="G4" s="8">
        <f t="shared" ca="1" si="0"/>
        <v>0.40788986153903395</v>
      </c>
      <c r="H4" s="8"/>
      <c r="I4" s="8"/>
      <c r="L4" s="11"/>
    </row>
    <row r="5" spans="1:12" ht="30.95" customHeight="1" x14ac:dyDescent="0.4">
      <c r="A5" s="6">
        <v>4</v>
      </c>
      <c r="B5" s="1"/>
      <c r="C5" s="7"/>
      <c r="D5" s="1"/>
      <c r="E5" s="7"/>
      <c r="F5" s="7" t="str">
        <f>IF(表1_8824[[#This Row],[单词]]=表1_8824[[#This Row],[默写]],"true","false")</f>
        <v>true</v>
      </c>
      <c r="G5" s="8">
        <f t="shared" ca="1" si="0"/>
        <v>0.24153380548180903</v>
      </c>
      <c r="H5" s="8"/>
      <c r="I5" s="8"/>
      <c r="L5" s="11"/>
    </row>
    <row r="6" spans="1:12" ht="30.95" customHeight="1" x14ac:dyDescent="0.4">
      <c r="A6" s="6">
        <v>5</v>
      </c>
      <c r="B6" s="1"/>
      <c r="C6" s="7"/>
      <c r="D6" s="1"/>
      <c r="E6" s="7"/>
      <c r="F6" s="7" t="str">
        <f>IF(表1_8824[[#This Row],[单词]]=表1_8824[[#This Row],[默写]],"true","false")</f>
        <v>true</v>
      </c>
      <c r="G6" s="8">
        <f t="shared" ca="1" si="0"/>
        <v>0.29516926204049321</v>
      </c>
      <c r="H6" s="8"/>
      <c r="I6" s="8"/>
      <c r="K6" s="12"/>
      <c r="L6" s="2"/>
    </row>
    <row r="7" spans="1:12" ht="30.95" customHeight="1" x14ac:dyDescent="0.4">
      <c r="A7" s="6">
        <v>6</v>
      </c>
      <c r="B7" s="1"/>
      <c r="C7" s="7"/>
      <c r="D7" s="1"/>
      <c r="E7" s="7"/>
      <c r="F7" s="7" t="str">
        <f>IF(表1_8824[[#This Row],[单词]]=表1_8824[[#This Row],[默写]],"true","false")</f>
        <v>true</v>
      </c>
      <c r="G7" s="8">
        <f t="shared" ca="1" si="0"/>
        <v>0.27725672016700187</v>
      </c>
      <c r="H7" s="8"/>
      <c r="I7" s="8"/>
      <c r="K7" s="11"/>
      <c r="L7" s="1"/>
    </row>
    <row r="8" spans="1:12" ht="30.95" customHeight="1" x14ac:dyDescent="0.4">
      <c r="A8" s="6">
        <v>7</v>
      </c>
      <c r="B8" s="1"/>
      <c r="C8" s="8"/>
      <c r="D8" s="1"/>
      <c r="E8" s="8"/>
      <c r="F8" s="8" t="str">
        <f>IF(表1_8824[[#This Row],[单词]]=表1_8824[[#This Row],[默写]],"true","false")</f>
        <v>true</v>
      </c>
      <c r="G8" s="8">
        <f t="shared" ca="1" si="0"/>
        <v>0.28966326295465106</v>
      </c>
      <c r="H8" s="8"/>
      <c r="I8" s="8"/>
      <c r="K8" s="11"/>
      <c r="L8" s="1"/>
    </row>
    <row r="13" spans="1:12" x14ac:dyDescent="0.4">
      <c r="K13" s="14"/>
      <c r="L13" s="14"/>
    </row>
  </sheetData>
  <mergeCells count="1">
    <mergeCell ref="K13:L13"/>
  </mergeCells>
  <phoneticPr fontId="1" type="noConversion"/>
  <conditionalFormatting sqref="F1:F1048576">
    <cfRule type="containsText" dxfId="2" priority="1" operator="containsText" text="false">
      <formula>NOT(ISERROR(SEARCH("false",F1)))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6FA9-0F19-43A9-B665-D4D7A704CE21}">
  <dimension ref="A1:L10"/>
  <sheetViews>
    <sheetView zoomScale="115" zoomScaleNormal="115" workbookViewId="0">
      <selection activeCell="D16" sqref="D16"/>
    </sheetView>
  </sheetViews>
  <sheetFormatPr defaultRowHeight="24.75" x14ac:dyDescent="0.4"/>
  <cols>
    <col min="1" max="1" width="21.5" style="3" customWidth="1"/>
    <col min="2" max="2" width="47" style="3" customWidth="1"/>
    <col min="3" max="3" width="17.25" customWidth="1"/>
    <col min="4" max="4" width="91.75" customWidth="1"/>
    <col min="5" max="5" width="30.375" customWidth="1"/>
    <col min="6" max="6" width="14.125" customWidth="1"/>
    <col min="7" max="7" width="11.125" hidden="1" customWidth="1"/>
    <col min="8" max="8" width="19.5" customWidth="1"/>
    <col min="9" max="9" width="21.875" customWidth="1"/>
    <col min="10" max="10" width="18.25" customWidth="1"/>
    <col min="11" max="11" width="23.125" style="10" customWidth="1"/>
    <col min="12" max="12" width="22.375" style="10" customWidth="1"/>
  </cols>
  <sheetData>
    <row r="1" spans="1:12" ht="26.25" x14ac:dyDescent="0.4">
      <c r="A1" s="4" t="s">
        <v>0</v>
      </c>
      <c r="B1" s="9" t="s">
        <v>11</v>
      </c>
      <c r="C1" s="9" t="s">
        <v>12</v>
      </c>
      <c r="D1" s="9" t="s">
        <v>3</v>
      </c>
      <c r="E1" s="9" t="s">
        <v>6</v>
      </c>
      <c r="F1" s="9" t="s">
        <v>4</v>
      </c>
      <c r="G1" s="5" t="s">
        <v>5</v>
      </c>
      <c r="H1" s="5" t="s">
        <v>7</v>
      </c>
      <c r="I1" s="5" t="s">
        <v>8</v>
      </c>
    </row>
    <row r="2" spans="1:12" ht="26.25" x14ac:dyDescent="0.4">
      <c r="A2" s="6">
        <v>1</v>
      </c>
      <c r="B2" s="1"/>
      <c r="C2" s="7"/>
      <c r="D2" s="1"/>
      <c r="E2" s="7"/>
      <c r="F2" s="7" t="str">
        <f>IF(表1_812[[#This Row],[词组]]=表1_812[[#This Row],[默写]],"true","false")</f>
        <v>true</v>
      </c>
      <c r="G2" s="8">
        <f t="shared" ref="G2:G10" ca="1" si="0">RAND()</f>
        <v>0.21699578364528804</v>
      </c>
      <c r="H2" s="8"/>
      <c r="I2" s="8"/>
    </row>
    <row r="3" spans="1:12" ht="26.25" x14ac:dyDescent="0.4">
      <c r="A3" s="6">
        <v>2</v>
      </c>
      <c r="B3" s="1"/>
      <c r="C3" s="7"/>
      <c r="D3" s="1"/>
      <c r="E3" s="7"/>
      <c r="F3" s="7" t="str">
        <f>IF(表1_812[[#This Row],[词组]]=表1_812[[#This Row],[默写]],"true","false")</f>
        <v>true</v>
      </c>
      <c r="G3" s="8">
        <f t="shared" ca="1" si="0"/>
        <v>0.99462058173876799</v>
      </c>
      <c r="H3" s="8"/>
      <c r="I3" s="8"/>
      <c r="K3" s="10" t="s">
        <v>13</v>
      </c>
    </row>
    <row r="4" spans="1:12" ht="26.25" x14ac:dyDescent="0.4">
      <c r="A4" s="6">
        <v>3</v>
      </c>
      <c r="B4" s="1"/>
      <c r="C4" s="7"/>
      <c r="D4" s="1"/>
      <c r="E4" s="7"/>
      <c r="F4" s="7" t="str">
        <f>IF(表1_812[[#This Row],[词组]]=表1_812[[#This Row],[默写]],"true","false")</f>
        <v>true</v>
      </c>
      <c r="G4" s="8">
        <f t="shared" ca="1" si="0"/>
        <v>0.65780553041923728</v>
      </c>
      <c r="H4" s="8"/>
      <c r="I4" s="8"/>
      <c r="L4" s="11"/>
    </row>
    <row r="5" spans="1:12" ht="26.25" x14ac:dyDescent="0.4">
      <c r="A5" s="6">
        <v>4</v>
      </c>
      <c r="B5" s="1"/>
      <c r="C5" s="7"/>
      <c r="D5" s="1"/>
      <c r="E5" s="7"/>
      <c r="F5" s="7" t="str">
        <f>IF(表1_812[[#This Row],[词组]]=表1_812[[#This Row],[默写]],"true","false")</f>
        <v>true</v>
      </c>
      <c r="G5" s="8">
        <f t="shared" ca="1" si="0"/>
        <v>0.22179580640874563</v>
      </c>
      <c r="H5" s="8"/>
      <c r="I5" s="8"/>
      <c r="L5" s="11"/>
    </row>
    <row r="6" spans="1:12" ht="26.25" x14ac:dyDescent="0.4">
      <c r="A6" s="6">
        <v>5</v>
      </c>
      <c r="B6" s="1"/>
      <c r="C6" s="7"/>
      <c r="D6" s="1"/>
      <c r="E6" s="7"/>
      <c r="F6" s="7" t="str">
        <f>IF(表1_812[[#This Row],[词组]]=表1_812[[#This Row],[默写]],"true","false")</f>
        <v>true</v>
      </c>
      <c r="G6" s="8">
        <f t="shared" ca="1" si="0"/>
        <v>0.66496321559032734</v>
      </c>
      <c r="H6" s="8"/>
      <c r="I6" s="8"/>
      <c r="K6" s="12" t="s">
        <v>9</v>
      </c>
      <c r="L6" s="2" t="s">
        <v>10</v>
      </c>
    </row>
    <row r="7" spans="1:12" ht="26.25" x14ac:dyDescent="0.4">
      <c r="A7" s="6">
        <v>6</v>
      </c>
      <c r="B7" s="1"/>
      <c r="C7" s="7"/>
      <c r="D7" s="1"/>
      <c r="E7" s="7"/>
      <c r="F7" s="7" t="str">
        <f>IF(表1_812[[#This Row],[词组]]=表1_812[[#This Row],[默写]],"true","false")</f>
        <v>true</v>
      </c>
      <c r="G7" s="8">
        <f t="shared" ca="1" si="0"/>
        <v>0.7697173741371488</v>
      </c>
      <c r="H7" s="8"/>
      <c r="I7" s="8"/>
      <c r="K7" s="11"/>
      <c r="L7" s="1"/>
    </row>
    <row r="8" spans="1:12" ht="26.25" x14ac:dyDescent="0.4">
      <c r="A8" s="6">
        <v>7</v>
      </c>
      <c r="B8" s="1"/>
      <c r="C8" s="7"/>
      <c r="D8" s="1"/>
      <c r="E8" s="8"/>
      <c r="F8" s="8" t="str">
        <f>IF(表1_812[[#This Row],[词组]]=表1_812[[#This Row],[默写]],"true","false")</f>
        <v>true</v>
      </c>
      <c r="G8" s="8">
        <f t="shared" ca="1" si="0"/>
        <v>0.79645909414095006</v>
      </c>
      <c r="H8" s="8"/>
      <c r="I8" s="8"/>
      <c r="K8" s="11"/>
      <c r="L8" s="1"/>
    </row>
    <row r="9" spans="1:12" ht="26.25" x14ac:dyDescent="0.4">
      <c r="A9" s="6">
        <v>8</v>
      </c>
      <c r="B9" s="1"/>
      <c r="C9" s="8"/>
      <c r="D9" s="1"/>
      <c r="E9" s="8"/>
      <c r="F9" s="8" t="str">
        <f>IF(表1_812[[#This Row],[词组]]=表1_812[[#This Row],[默写]],"true","false")</f>
        <v>true</v>
      </c>
      <c r="G9" s="8">
        <f t="shared" ca="1" si="0"/>
        <v>0.82499500409128845</v>
      </c>
      <c r="H9" s="8"/>
      <c r="I9" s="8"/>
      <c r="K9" s="11"/>
      <c r="L9" s="4"/>
    </row>
    <row r="10" spans="1:12" ht="26.25" x14ac:dyDescent="0.4">
      <c r="A10" s="6">
        <v>9</v>
      </c>
      <c r="B10" s="1"/>
      <c r="C10" s="8"/>
      <c r="D10" s="1"/>
      <c r="E10" s="8"/>
      <c r="F10" s="8" t="str">
        <f>IF(表1_812[[#This Row],[词组]]=表1_812[[#This Row],[默写]],"true","false")</f>
        <v>true</v>
      </c>
      <c r="G10" s="8">
        <f t="shared" ca="1" si="0"/>
        <v>0.57221071667361378</v>
      </c>
      <c r="H10" s="8"/>
      <c r="I10" s="8"/>
      <c r="K10" s="11"/>
      <c r="L10" s="4"/>
    </row>
  </sheetData>
  <phoneticPr fontId="1" type="noConversion"/>
  <conditionalFormatting sqref="F1:F1048576">
    <cfRule type="containsText" dxfId="1" priority="1" operator="containsText" text="false">
      <formula>NOT(ISERROR(SEARCH("false",F1)))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45E7-0F8C-4DD6-8201-C2822A17A2C9}">
  <dimension ref="A1:L13"/>
  <sheetViews>
    <sheetView zoomScale="115" zoomScaleNormal="115" workbookViewId="0">
      <selection activeCell="H16" sqref="H16"/>
    </sheetView>
  </sheetViews>
  <sheetFormatPr defaultRowHeight="24.75" x14ac:dyDescent="0.4"/>
  <cols>
    <col min="1" max="1" width="17" style="3" customWidth="1"/>
    <col min="2" max="2" width="25.875" style="3" customWidth="1"/>
    <col min="3" max="3" width="24.625" customWidth="1"/>
    <col min="4" max="4" width="32.875" customWidth="1"/>
    <col min="5" max="5" width="30.375" customWidth="1"/>
    <col min="6" max="6" width="14.125" customWidth="1"/>
    <col min="7" max="7" width="11.125" hidden="1" customWidth="1"/>
    <col min="8" max="8" width="19.5" customWidth="1"/>
    <col min="9" max="9" width="21.875" customWidth="1"/>
    <col min="10" max="10" width="18.25" customWidth="1"/>
    <col min="11" max="11" width="23.125" style="10" customWidth="1"/>
    <col min="12" max="12" width="22.375" style="10" customWidth="1"/>
  </cols>
  <sheetData>
    <row r="1" spans="1:12" ht="26.25" x14ac:dyDescent="0.4">
      <c r="A1" s="4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5" t="s">
        <v>5</v>
      </c>
      <c r="H1" s="5" t="s">
        <v>7</v>
      </c>
      <c r="I1" s="5" t="s">
        <v>8</v>
      </c>
    </row>
    <row r="2" spans="1:12" ht="30.95" customHeight="1" x14ac:dyDescent="0.4">
      <c r="A2" s="6">
        <v>1</v>
      </c>
      <c r="B2" s="1"/>
      <c r="C2" s="7"/>
      <c r="D2" s="1"/>
      <c r="E2" s="7"/>
      <c r="F2" s="7" t="str">
        <f>IF(表1_882[[#This Row],[单词]]=表1_882[[#This Row],[默写]],"true","false")</f>
        <v>true</v>
      </c>
      <c r="G2" s="8">
        <f t="shared" ref="G2:G8" ca="1" si="0">RAND()</f>
        <v>0.20282527842498987</v>
      </c>
      <c r="H2" s="8"/>
      <c r="I2" s="8"/>
    </row>
    <row r="3" spans="1:12" ht="30.95" customHeight="1" x14ac:dyDescent="0.4">
      <c r="A3" s="6">
        <v>2</v>
      </c>
      <c r="B3" s="1"/>
      <c r="C3" s="7"/>
      <c r="D3" s="1"/>
      <c r="E3" s="7"/>
      <c r="F3" s="7" t="str">
        <f>IF(表1_882[[#This Row],[单词]]=表1_882[[#This Row],[默写]],"true","false")</f>
        <v>true</v>
      </c>
      <c r="G3" s="8">
        <f t="shared" ca="1" si="0"/>
        <v>0.75275432730004854</v>
      </c>
      <c r="H3" s="8"/>
      <c r="I3" s="8"/>
    </row>
    <row r="4" spans="1:12" ht="30.95" customHeight="1" x14ac:dyDescent="0.4">
      <c r="A4" s="6">
        <v>3</v>
      </c>
      <c r="B4" s="1"/>
      <c r="C4" s="7"/>
      <c r="D4" s="1"/>
      <c r="E4" s="7"/>
      <c r="F4" s="7" t="str">
        <f>IF(表1_882[[#This Row],[单词]]=表1_882[[#This Row],[默写]],"true","false")</f>
        <v>true</v>
      </c>
      <c r="G4" s="8">
        <f t="shared" ca="1" si="0"/>
        <v>0.51661883656846941</v>
      </c>
      <c r="H4" s="8"/>
      <c r="I4" s="8"/>
      <c r="L4" s="11"/>
    </row>
    <row r="5" spans="1:12" ht="30.95" customHeight="1" x14ac:dyDescent="0.4">
      <c r="A5" s="6">
        <v>4</v>
      </c>
      <c r="B5" s="1"/>
      <c r="C5" s="7"/>
      <c r="D5" s="1"/>
      <c r="E5" s="7"/>
      <c r="F5" s="7" t="str">
        <f>IF(表1_882[[#This Row],[单词]]=表1_882[[#This Row],[默写]],"true","false")</f>
        <v>true</v>
      </c>
      <c r="G5" s="8">
        <f t="shared" ca="1" si="0"/>
        <v>0.961335500219345</v>
      </c>
      <c r="H5" s="8"/>
      <c r="I5" s="8"/>
      <c r="L5" s="11"/>
    </row>
    <row r="6" spans="1:12" ht="30.95" customHeight="1" x14ac:dyDescent="0.4">
      <c r="A6" s="6">
        <v>5</v>
      </c>
      <c r="B6" s="1"/>
      <c r="C6" s="7"/>
      <c r="D6" s="1"/>
      <c r="E6" s="7"/>
      <c r="F6" s="7" t="str">
        <f>IF(表1_882[[#This Row],[单词]]=表1_882[[#This Row],[默写]],"true","false")</f>
        <v>true</v>
      </c>
      <c r="G6" s="8">
        <f t="shared" ca="1" si="0"/>
        <v>0.25499774082597348</v>
      </c>
      <c r="H6" s="8"/>
      <c r="I6" s="8"/>
      <c r="K6" s="12"/>
      <c r="L6" s="2"/>
    </row>
    <row r="7" spans="1:12" ht="30.95" customHeight="1" x14ac:dyDescent="0.4">
      <c r="A7" s="6">
        <v>6</v>
      </c>
      <c r="B7" s="1"/>
      <c r="C7" s="7"/>
      <c r="D7" s="1"/>
      <c r="E7" s="7"/>
      <c r="F7" s="7" t="str">
        <f>IF(表1_882[[#This Row],[单词]]=表1_882[[#This Row],[默写]],"true","false")</f>
        <v>true</v>
      </c>
      <c r="G7" s="8">
        <f t="shared" ca="1" si="0"/>
        <v>0.99662652055861523</v>
      </c>
      <c r="H7" s="8"/>
      <c r="I7" s="8"/>
      <c r="K7" s="11"/>
      <c r="L7" s="1"/>
    </row>
    <row r="8" spans="1:12" ht="30.95" customHeight="1" x14ac:dyDescent="0.4">
      <c r="A8" s="6">
        <v>7</v>
      </c>
      <c r="B8" s="1"/>
      <c r="C8" s="8"/>
      <c r="D8" s="1"/>
      <c r="E8" s="8"/>
      <c r="F8" s="8" t="str">
        <f>IF(表1_882[[#This Row],[单词]]=表1_882[[#This Row],[默写]],"true","false")</f>
        <v>true</v>
      </c>
      <c r="G8" s="8">
        <f t="shared" ca="1" si="0"/>
        <v>0.76960014985292291</v>
      </c>
      <c r="H8" s="8"/>
      <c r="I8" s="8"/>
      <c r="K8" s="11"/>
      <c r="L8" s="1"/>
    </row>
    <row r="13" spans="1:12" x14ac:dyDescent="0.4">
      <c r="K13" s="14"/>
      <c r="L13" s="14"/>
    </row>
  </sheetData>
  <mergeCells count="1">
    <mergeCell ref="K13:L13"/>
  </mergeCells>
  <phoneticPr fontId="1" type="noConversion"/>
  <conditionalFormatting sqref="F1:F1048576">
    <cfRule type="containsText" dxfId="0" priority="1" operator="containsText" text="false">
      <formula>NOT(ISERROR(SEARCH("false",F1)))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20260206</vt:lpstr>
      <vt:lpstr>20260218</vt:lpstr>
      <vt:lpstr>20260219</vt:lpstr>
      <vt:lpstr>固定用法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邬金平</dc:creator>
  <cp:lastModifiedBy>金平 邬</cp:lastModifiedBy>
  <dcterms:created xsi:type="dcterms:W3CDTF">2015-06-05T18:19:34Z</dcterms:created>
  <dcterms:modified xsi:type="dcterms:W3CDTF">2026-02-21T09:17:46Z</dcterms:modified>
</cp:coreProperties>
</file>